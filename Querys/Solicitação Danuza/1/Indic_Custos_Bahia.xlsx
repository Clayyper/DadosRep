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9555" windowHeight="5700"/>
  </bookViews>
  <sheets>
    <sheet name="Indicadores" sheetId="1" r:id="rId1"/>
    <sheet name="Notas" sheetId="2" r:id="rId2"/>
  </sheets>
  <calcPr calcId="125725"/>
</workbook>
</file>

<file path=xl/calcChain.xml><?xml version="1.0" encoding="utf-8"?>
<calcChain xmlns="http://schemas.openxmlformats.org/spreadsheetml/2006/main">
  <c r="I25" i="1"/>
  <c r="G25"/>
  <c r="F25"/>
  <c r="D25"/>
  <c r="D26"/>
  <c r="F26"/>
  <c r="G26"/>
  <c r="I26"/>
  <c r="I27"/>
  <c r="G27"/>
  <c r="F27"/>
  <c r="D27"/>
  <c r="F28"/>
  <c r="D28"/>
  <c r="D11"/>
  <c r="F11"/>
  <c r="G11"/>
  <c r="I11"/>
  <c r="E14"/>
  <c r="H14"/>
  <c r="H5"/>
  <c r="I22"/>
  <c r="G22"/>
  <c r="F22"/>
  <c r="D22"/>
  <c r="I28" l="1"/>
  <c r="G28"/>
</calcChain>
</file>

<file path=xl/sharedStrings.xml><?xml version="1.0" encoding="utf-8"?>
<sst xmlns="http://schemas.openxmlformats.org/spreadsheetml/2006/main" count="61" uniqueCount="51">
  <si>
    <t>Vendas:</t>
  </si>
  <si>
    <t>Compras:</t>
  </si>
  <si>
    <t>Itens Produzidos</t>
  </si>
  <si>
    <t>Itens Revendidos</t>
  </si>
  <si>
    <t>Material de Revenda</t>
  </si>
  <si>
    <t>Indiretos</t>
  </si>
  <si>
    <t>ACUMULADO MÊS</t>
  </si>
  <si>
    <t>DIA :</t>
  </si>
  <si>
    <t>Indicadores:</t>
  </si>
  <si>
    <t>Matérias Primas, Auxiliares, Embalagens</t>
  </si>
  <si>
    <t>Material Revenda / Itens Revendidos</t>
  </si>
  <si>
    <t>A Data de Venda é sempre a Data da Emissão da DANFE</t>
  </si>
  <si>
    <t>Obs.:</t>
  </si>
  <si>
    <t>Os Valores podem variar de um dia para outro, em função de desatualizações dos Documentos no Recebimento, e de possiveis Cancelamentos no Faturamento (O prazo para cancelamento de uma DANFE de saída é de 24 hs)</t>
  </si>
  <si>
    <t>Apenas após o fechamento do Período (Faturamento e Recebimento),  NÃO deverá mais haver qualquer variação.</t>
  </si>
  <si>
    <t>Total Vendas</t>
  </si>
  <si>
    <t>Total Compras</t>
  </si>
  <si>
    <t>Matéria Pimas, Aux, Embal / Itens Produzidos</t>
  </si>
  <si>
    <t>Outros (Não Operacionais)</t>
  </si>
  <si>
    <t>Compras Operacional / Vendas Operacional</t>
  </si>
  <si>
    <t>Total Compras / Total Vendas</t>
  </si>
  <si>
    <t>O GAP entre o Recebimento fisico e a entrada da NF no sistema, deve ser o menor possivel</t>
  </si>
  <si>
    <t>Imobilizado, Outros Ativos (Não Operacional)</t>
  </si>
  <si>
    <t>Itens Produzidos:</t>
  </si>
  <si>
    <t>São todos os itens do Grupo de estoque 50 - Acabados</t>
  </si>
  <si>
    <t>Itens Revenda:</t>
  </si>
  <si>
    <t>São todos os itens do Grupo de estoque 80 - Material de Revenda</t>
  </si>
  <si>
    <t>Matérias Primas, Auxiliares, Embalagens:</t>
  </si>
  <si>
    <t>São todos os itens do Grupo de Estoque 10 - Materia Prima + 20 - Material Auxiliar de Producao + 70 - Material de Embalagem</t>
  </si>
  <si>
    <t>São todos os itens do Grupo de Estoque 99 - Débito Direto (Outros)</t>
  </si>
  <si>
    <t>São todos os itens do Grupo de Estoque 99 - Débito Direto (Outros), que usam o contas contabeis do Ativo</t>
  </si>
  <si>
    <t>Valores SEM Impostos em R$ (BRL)</t>
  </si>
  <si>
    <t>Valores SEM Impostos em  R$ (BRL)</t>
  </si>
  <si>
    <t>Valores COM Impostos em R$  (Cash In)</t>
  </si>
  <si>
    <t>Valores COM Impostos em R$ (Cash Out)</t>
  </si>
  <si>
    <t xml:space="preserve">Credito de ICMS </t>
  </si>
  <si>
    <t>Indicadores de Custos Pelzer da Bahia no mês:</t>
  </si>
  <si>
    <t>Outros (Não Operacionais):</t>
  </si>
  <si>
    <t xml:space="preserve">São todos os itens que não fazem parte da operação </t>
  </si>
  <si>
    <t>Credito de ICMS:</t>
  </si>
  <si>
    <t>São as Vendas do Crédito de ICMS acumulados nas compras</t>
  </si>
  <si>
    <t>Indiretos (Apenas Bahia)</t>
  </si>
  <si>
    <t>Despesas Taubaté</t>
  </si>
  <si>
    <t>Despesas São Bernardo do Campo</t>
  </si>
  <si>
    <t>Todas as Notas Fiscias que foram registradas no estabelecimento 403, independente do tipo de despesa</t>
  </si>
  <si>
    <t>Todas as Notas Fiscias que foram registradas no estabelecimento 404, independente do tipo de despesa</t>
  </si>
  <si>
    <t>Vendas ( Faturamento ) :</t>
  </si>
  <si>
    <t>Compras ( Recebimento ) :</t>
  </si>
  <si>
    <t>Imobilizado, Outros Ativos (Não Operacionais)</t>
  </si>
  <si>
    <t>AS IMPORTAÇÕES/COMEX NÃO SÃO CONSIDERADAS NO RECEBIMENTO</t>
  </si>
  <si>
    <t>A Data de Compras é sempre a Data da Transação (Contabil/Legal) carimbada na DANFE no momento do Recebimento,  NÃO é considerada a Data da Emissão do Fornecedor e nem a Data da Atualização.</t>
  </si>
</sst>
</file>

<file path=xl/styles.xml><?xml version="1.0" encoding="utf-8"?>
<styleSheet xmlns="http://schemas.openxmlformats.org/spreadsheetml/2006/main">
  <numFmts count="2">
    <numFmt numFmtId="164" formatCode="0.000%"/>
    <numFmt numFmtId="165" formatCode="[$-416]d\-mmm\-yy;@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8"/>
      <color theme="1"/>
      <name val="Arial"/>
      <family val="2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3" fillId="0" borderId="3" xfId="0" applyFont="1" applyBorder="1"/>
    <xf numFmtId="0" fontId="0" fillId="0" borderId="9" xfId="0" applyBorder="1"/>
    <xf numFmtId="0" fontId="0" fillId="0" borderId="11" xfId="0" applyBorder="1"/>
    <xf numFmtId="0" fontId="4" fillId="0" borderId="0" xfId="0" applyFont="1"/>
    <xf numFmtId="0" fontId="7" fillId="0" borderId="12" xfId="0" applyFont="1" applyBorder="1"/>
    <xf numFmtId="4" fontId="9" fillId="0" borderId="13" xfId="0" applyNumberFormat="1" applyFont="1" applyBorder="1" applyAlignment="1">
      <alignment horizontal="right"/>
    </xf>
    <xf numFmtId="4" fontId="0" fillId="0" borderId="0" xfId="0" applyNumberFormat="1"/>
    <xf numFmtId="0" fontId="0" fillId="0" borderId="17" xfId="0" applyBorder="1"/>
    <xf numFmtId="0" fontId="0" fillId="0" borderId="20" xfId="0" applyBorder="1"/>
    <xf numFmtId="0" fontId="0" fillId="0" borderId="22" xfId="0" applyBorder="1"/>
    <xf numFmtId="0" fontId="10" fillId="0" borderId="0" xfId="0" applyFont="1" applyBorder="1"/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4" xfId="0" applyFont="1" applyBorder="1" applyAlignment="1">
      <alignment vertical="center"/>
    </xf>
    <xf numFmtId="4" fontId="0" fillId="0" borderId="5" xfId="0" applyNumberForma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4" fontId="0" fillId="0" borderId="10" xfId="0" applyNumberFormat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3" fillId="0" borderId="0" xfId="0" applyFont="1" applyAlignment="1">
      <alignment vertical="top"/>
    </xf>
    <xf numFmtId="4" fontId="0" fillId="0" borderId="0" xfId="0" applyNumberFormat="1" applyBorder="1" applyAlignment="1">
      <alignment horizontal="right" vertical="center"/>
    </xf>
    <xf numFmtId="4" fontId="0" fillId="0" borderId="4" xfId="0" applyNumberFormat="1" applyBorder="1" applyAlignment="1">
      <alignment horizontal="right" vertical="center"/>
    </xf>
    <xf numFmtId="165" fontId="0" fillId="2" borderId="7" xfId="0" applyNumberFormat="1" applyFill="1" applyBorder="1" applyAlignment="1">
      <alignment horizontal="center"/>
    </xf>
    <xf numFmtId="4" fontId="9" fillId="0" borderId="12" xfId="0" applyNumberFormat="1" applyFont="1" applyBorder="1" applyAlignment="1">
      <alignment horizontal="right" vertical="center"/>
    </xf>
    <xf numFmtId="164" fontId="8" fillId="0" borderId="18" xfId="0" applyNumberFormat="1" applyFon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164" fontId="0" fillId="0" borderId="23" xfId="0" applyNumberFormat="1" applyBorder="1" applyAlignment="1">
      <alignment horizontal="right" vertical="center"/>
    </xf>
    <xf numFmtId="164" fontId="8" fillId="0" borderId="19" xfId="0" applyNumberFormat="1" applyFont="1" applyBorder="1" applyAlignment="1">
      <alignment horizontal="right" vertical="center"/>
    </xf>
    <xf numFmtId="164" fontId="0" fillId="3" borderId="21" xfId="0" applyNumberFormat="1" applyFill="1" applyBorder="1" applyAlignment="1">
      <alignment horizontal="right" vertical="center"/>
    </xf>
    <xf numFmtId="164" fontId="0" fillId="0" borderId="21" xfId="0" applyNumberFormat="1" applyBorder="1" applyAlignment="1">
      <alignment horizontal="right" vertical="center"/>
    </xf>
    <xf numFmtId="164" fontId="0" fillId="0" borderId="24" xfId="0" applyNumberFormat="1" applyBorder="1" applyAlignment="1">
      <alignment horizontal="right" vertical="center"/>
    </xf>
    <xf numFmtId="4" fontId="9" fillId="0" borderId="13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vertical="center"/>
    </xf>
    <xf numFmtId="0" fontId="8" fillId="0" borderId="0" xfId="0" applyFont="1"/>
    <xf numFmtId="4" fontId="0" fillId="0" borderId="15" xfId="0" applyNumberFormat="1" applyBorder="1" applyAlignment="1">
      <alignment horizontal="right"/>
    </xf>
    <xf numFmtId="4" fontId="0" fillId="0" borderId="0" xfId="0" applyNumberFormat="1" applyBorder="1" applyAlignment="1">
      <alignment horizontal="right"/>
    </xf>
    <xf numFmtId="4" fontId="0" fillId="0" borderId="15" xfId="0" applyNumberFormat="1" applyBorder="1" applyAlignment="1">
      <alignment horizontal="right" vertical="center"/>
    </xf>
    <xf numFmtId="4" fontId="0" fillId="0" borderId="0" xfId="0" applyNumberFormat="1" applyBorder="1" applyAlignment="1">
      <alignment horizontal="right" vertical="center"/>
    </xf>
    <xf numFmtId="164" fontId="0" fillId="0" borderId="15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4" fontId="0" fillId="0" borderId="14" xfId="0" applyNumberFormat="1" applyBorder="1" applyAlignment="1">
      <alignment horizontal="right" vertical="center"/>
    </xf>
    <xf numFmtId="4" fontId="0" fillId="0" borderId="4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2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4" fontId="0" fillId="0" borderId="14" xfId="0" applyNumberFormat="1" applyBorder="1" applyAlignment="1">
      <alignment horizontal="right"/>
    </xf>
    <xf numFmtId="4" fontId="0" fillId="0" borderId="4" xfId="0" applyNumberFormat="1" applyBorder="1" applyAlignment="1">
      <alignment horizontal="right"/>
    </xf>
    <xf numFmtId="4" fontId="0" fillId="0" borderId="16" xfId="0" applyNumberFormat="1" applyBorder="1" applyAlignment="1">
      <alignment horizontal="right"/>
    </xf>
    <xf numFmtId="4" fontId="0" fillId="0" borderId="12" xfId="0" applyNumberFormat="1" applyBorder="1" applyAlignment="1">
      <alignment horizontal="right"/>
    </xf>
    <xf numFmtId="164" fontId="0" fillId="0" borderId="26" xfId="0" applyNumberFormat="1" applyBorder="1" applyAlignment="1">
      <alignment horizontal="right" vertical="center"/>
    </xf>
    <xf numFmtId="164" fontId="0" fillId="0" borderId="23" xfId="0" applyNumberFormat="1" applyBorder="1" applyAlignment="1">
      <alignment horizontal="right" vertical="center"/>
    </xf>
    <xf numFmtId="164" fontId="0" fillId="0" borderId="25" xfId="0" applyNumberFormat="1" applyBorder="1" applyAlignment="1">
      <alignment horizontal="right" vertical="center"/>
    </xf>
    <xf numFmtId="164" fontId="0" fillId="0" borderId="18" xfId="0" applyNumberFormat="1" applyBorder="1" applyAlignment="1">
      <alignment horizontal="right" vertical="center"/>
    </xf>
    <xf numFmtId="4" fontId="0" fillId="0" borderId="16" xfId="0" applyNumberFormat="1" applyBorder="1" applyAlignment="1">
      <alignment horizontal="right" vertical="center"/>
    </xf>
    <xf numFmtId="4" fontId="0" fillId="0" borderId="12" xfId="0" applyNumberFormat="1" applyBorder="1" applyAlignment="1">
      <alignment horizontal="right" vertical="center"/>
    </xf>
    <xf numFmtId="4" fontId="0" fillId="0" borderId="16" xfId="0" applyNumberFormat="1" applyBorder="1" applyAlignment="1"/>
    <xf numFmtId="4" fontId="0" fillId="0" borderId="12" xfId="0" applyNumberFormat="1" applyBorder="1" applyAlignment="1"/>
    <xf numFmtId="49" fontId="12" fillId="0" borderId="27" xfId="0" applyNumberFormat="1" applyFont="1" applyBorder="1" applyAlignment="1">
      <alignment horizontal="left"/>
    </xf>
    <xf numFmtId="49" fontId="12" fillId="0" borderId="28" xfId="0" applyNumberFormat="1" applyFont="1" applyBorder="1" applyAlignment="1">
      <alignment horizontal="left"/>
    </xf>
    <xf numFmtId="0" fontId="11" fillId="0" borderId="27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1057275</xdr:colOff>
      <xdr:row>2</xdr:row>
      <xdr:rowOff>76199</xdr:rowOff>
    </xdr:to>
    <xdr:pic>
      <xdr:nvPicPr>
        <xdr:cNvPr id="2" name="Picture 1" descr="adlerLogoGlob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2900" y="123825"/>
          <a:ext cx="1057275" cy="733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1438276</xdr:colOff>
      <xdr:row>1</xdr:row>
      <xdr:rowOff>19050</xdr:rowOff>
    </xdr:from>
    <xdr:to>
      <xdr:col>2</xdr:col>
      <xdr:colOff>2533651</xdr:colOff>
      <xdr:row>2</xdr:row>
      <xdr:rowOff>47625</xdr:rowOff>
    </xdr:to>
    <xdr:pic>
      <xdr:nvPicPr>
        <xdr:cNvPr id="3" name="Bild 1" descr="HPworld_PP Kopi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3587" r="1802" b="2760"/>
        <a:stretch>
          <a:fillRect/>
        </a:stretch>
      </xdr:blipFill>
      <xdr:spPr bwMode="auto">
        <a:xfrm>
          <a:off x="1781176" y="142875"/>
          <a:ext cx="10953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28"/>
  <sheetViews>
    <sheetView showGridLines="0" showRowColHeader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2" sqref="H2:I2"/>
    </sheetView>
  </sheetViews>
  <sheetFormatPr defaultRowHeight="15"/>
  <cols>
    <col min="1" max="1" width="1.5703125" customWidth="1"/>
    <col min="2" max="2" width="3.5703125" customWidth="1"/>
    <col min="3" max="3" width="41.42578125" customWidth="1"/>
    <col min="4" max="4" width="8.7109375" customWidth="1"/>
    <col min="5" max="5" width="10.7109375" bestFit="1" customWidth="1"/>
    <col min="6" max="6" width="18.7109375" customWidth="1"/>
    <col min="7" max="7" width="8.7109375" customWidth="1"/>
    <col min="8" max="8" width="10.7109375" customWidth="1"/>
    <col min="9" max="9" width="18.7109375" customWidth="1"/>
    <col min="10" max="10" width="11.7109375" bestFit="1" customWidth="1"/>
  </cols>
  <sheetData>
    <row r="1" spans="2:10" ht="9.75" customHeight="1"/>
    <row r="2" spans="2:10" ht="51.75" customHeight="1">
      <c r="D2" s="74" t="s">
        <v>36</v>
      </c>
      <c r="E2" s="75"/>
      <c r="F2" s="75"/>
      <c r="G2" s="76"/>
      <c r="H2" s="72"/>
      <c r="I2" s="73"/>
    </row>
    <row r="3" spans="2:10" ht="15.75" thickBot="1"/>
    <row r="4" spans="2:10" ht="15.75" thickTop="1">
      <c r="B4" s="58" t="s">
        <v>46</v>
      </c>
      <c r="C4" s="59"/>
      <c r="D4" s="53" t="s">
        <v>32</v>
      </c>
      <c r="E4" s="54"/>
      <c r="F4" s="55"/>
      <c r="G4" s="53" t="s">
        <v>33</v>
      </c>
      <c r="H4" s="54"/>
      <c r="I4" s="55"/>
    </row>
    <row r="5" spans="2:10" ht="15.75" thickBot="1">
      <c r="B5" s="58"/>
      <c r="C5" s="59"/>
      <c r="D5" s="1" t="s">
        <v>7</v>
      </c>
      <c r="E5" s="28"/>
      <c r="F5" s="2" t="s">
        <v>6</v>
      </c>
      <c r="G5" s="1" t="s">
        <v>7</v>
      </c>
      <c r="H5" s="28">
        <f>E5</f>
        <v>0</v>
      </c>
      <c r="I5" s="2" t="s">
        <v>6</v>
      </c>
    </row>
    <row r="6" spans="2:10" ht="8.1" customHeight="1" thickTop="1" thickBot="1">
      <c r="D6" s="3"/>
      <c r="E6" s="4"/>
      <c r="F6" s="3"/>
      <c r="G6" s="3"/>
      <c r="H6" s="4"/>
      <c r="I6" s="3"/>
    </row>
    <row r="7" spans="2:10" ht="15.95" customHeight="1" thickTop="1">
      <c r="B7" s="5"/>
      <c r="C7" s="18" t="s">
        <v>2</v>
      </c>
      <c r="D7" s="60">
        <v>0</v>
      </c>
      <c r="E7" s="61"/>
      <c r="F7" s="27">
        <v>0</v>
      </c>
      <c r="G7" s="47">
        <v>0</v>
      </c>
      <c r="H7" s="48"/>
      <c r="I7" s="19">
        <v>0</v>
      </c>
      <c r="J7" s="11"/>
    </row>
    <row r="8" spans="2:10" ht="15.95" customHeight="1">
      <c r="B8" s="6"/>
      <c r="C8" s="20" t="s">
        <v>3</v>
      </c>
      <c r="D8" s="41">
        <v>0</v>
      </c>
      <c r="E8" s="42"/>
      <c r="F8" s="26">
        <v>0</v>
      </c>
      <c r="G8" s="43">
        <v>0</v>
      </c>
      <c r="H8" s="44"/>
      <c r="I8" s="21">
        <v>0</v>
      </c>
    </row>
    <row r="9" spans="2:10" ht="15.95" customHeight="1">
      <c r="B9" s="6"/>
      <c r="C9" s="20" t="s">
        <v>18</v>
      </c>
      <c r="D9" s="41">
        <v>0</v>
      </c>
      <c r="E9" s="42"/>
      <c r="F9" s="26">
        <v>0</v>
      </c>
      <c r="G9" s="43">
        <v>0</v>
      </c>
      <c r="H9" s="44"/>
      <c r="I9" s="21">
        <v>0</v>
      </c>
    </row>
    <row r="10" spans="2:10" ht="15.95" customHeight="1">
      <c r="B10" s="6"/>
      <c r="C10" s="22" t="s">
        <v>35</v>
      </c>
      <c r="D10" s="41">
        <v>0</v>
      </c>
      <c r="E10" s="42"/>
      <c r="F10" s="26">
        <v>0</v>
      </c>
      <c r="G10" s="49">
        <v>0</v>
      </c>
      <c r="H10" s="50"/>
      <c r="I10" s="21">
        <v>0</v>
      </c>
    </row>
    <row r="11" spans="2:10" ht="20.100000000000001" customHeight="1" thickBot="1">
      <c r="B11" s="7"/>
      <c r="C11" s="9" t="s">
        <v>15</v>
      </c>
      <c r="D11" s="62">
        <f>SUM(D7:D10)</f>
        <v>0</v>
      </c>
      <c r="E11" s="63"/>
      <c r="F11" s="29">
        <f>SUM(F7:F10)</f>
        <v>0</v>
      </c>
      <c r="G11" s="62">
        <f>SUM(G7:G10)</f>
        <v>0</v>
      </c>
      <c r="H11" s="63"/>
      <c r="I11" s="10">
        <f>SUM(I7:I10)</f>
        <v>0</v>
      </c>
    </row>
    <row r="12" spans="2:10" ht="16.5" thickTop="1" thickBot="1"/>
    <row r="13" spans="2:10" ht="15.75" thickTop="1">
      <c r="B13" s="56" t="s">
        <v>47</v>
      </c>
      <c r="C13" s="57"/>
      <c r="D13" s="53" t="s">
        <v>31</v>
      </c>
      <c r="E13" s="54"/>
      <c r="F13" s="55"/>
      <c r="G13" s="53" t="s">
        <v>34</v>
      </c>
      <c r="H13" s="54"/>
      <c r="I13" s="55"/>
    </row>
    <row r="14" spans="2:10" ht="15.75" thickBot="1">
      <c r="B14" s="56"/>
      <c r="C14" s="57"/>
      <c r="D14" s="1" t="s">
        <v>7</v>
      </c>
      <c r="E14" s="28">
        <f>E5</f>
        <v>0</v>
      </c>
      <c r="F14" s="2" t="s">
        <v>6</v>
      </c>
      <c r="G14" s="1" t="s">
        <v>7</v>
      </c>
      <c r="H14" s="28">
        <f>E5</f>
        <v>0</v>
      </c>
      <c r="I14" s="2" t="s">
        <v>6</v>
      </c>
    </row>
    <row r="15" spans="2:10" ht="8.1" customHeight="1" thickTop="1" thickBot="1"/>
    <row r="16" spans="2:10" ht="15.95" customHeight="1" thickTop="1">
      <c r="B16" s="5"/>
      <c r="C16" s="16" t="s">
        <v>9</v>
      </c>
      <c r="D16" s="60">
        <v>0</v>
      </c>
      <c r="E16" s="61"/>
      <c r="F16" s="27">
        <v>0</v>
      </c>
      <c r="G16" s="47">
        <v>0</v>
      </c>
      <c r="H16" s="48"/>
      <c r="I16" s="19">
        <v>0</v>
      </c>
    </row>
    <row r="17" spans="2:9" ht="15.95" customHeight="1">
      <c r="B17" s="6"/>
      <c r="C17" s="17" t="s">
        <v>4</v>
      </c>
      <c r="D17" s="41">
        <v>0</v>
      </c>
      <c r="E17" s="42"/>
      <c r="F17" s="26">
        <v>0</v>
      </c>
      <c r="G17" s="43">
        <v>0</v>
      </c>
      <c r="H17" s="44"/>
      <c r="I17" s="21">
        <v>0</v>
      </c>
    </row>
    <row r="18" spans="2:9" ht="15.95" customHeight="1">
      <c r="B18" s="6"/>
      <c r="C18" s="17" t="s">
        <v>41</v>
      </c>
      <c r="D18" s="41">
        <v>0</v>
      </c>
      <c r="E18" s="42"/>
      <c r="F18" s="26">
        <v>0</v>
      </c>
      <c r="G18" s="43">
        <v>0</v>
      </c>
      <c r="H18" s="44"/>
      <c r="I18" s="21">
        <v>0</v>
      </c>
    </row>
    <row r="19" spans="2:9" ht="15.95" customHeight="1">
      <c r="B19" s="6"/>
      <c r="C19" s="17" t="s">
        <v>48</v>
      </c>
      <c r="D19" s="41">
        <v>0</v>
      </c>
      <c r="E19" s="42"/>
      <c r="F19" s="26">
        <v>0</v>
      </c>
      <c r="G19" s="43">
        <v>0</v>
      </c>
      <c r="H19" s="44"/>
      <c r="I19" s="21">
        <v>0</v>
      </c>
    </row>
    <row r="20" spans="2:9" ht="15.95" customHeight="1">
      <c r="B20" s="6"/>
      <c r="C20" s="17" t="s">
        <v>42</v>
      </c>
      <c r="D20" s="41">
        <v>0</v>
      </c>
      <c r="E20" s="42"/>
      <c r="F20" s="26">
        <v>0</v>
      </c>
      <c r="G20" s="43">
        <v>0</v>
      </c>
      <c r="H20" s="44"/>
      <c r="I20" s="21">
        <v>0</v>
      </c>
    </row>
    <row r="21" spans="2:9" ht="15.95" customHeight="1">
      <c r="B21" s="6"/>
      <c r="C21" s="17" t="s">
        <v>43</v>
      </c>
      <c r="D21" s="51">
        <v>0</v>
      </c>
      <c r="E21" s="52"/>
      <c r="F21" s="26">
        <v>0</v>
      </c>
      <c r="G21" s="49">
        <v>0</v>
      </c>
      <c r="H21" s="50"/>
      <c r="I21" s="21">
        <v>0</v>
      </c>
    </row>
    <row r="22" spans="2:9" ht="20.100000000000001" customHeight="1" thickBot="1">
      <c r="B22" s="7"/>
      <c r="C22" s="9" t="s">
        <v>16</v>
      </c>
      <c r="D22" s="70">
        <f>SUM(D16:D21)</f>
        <v>0</v>
      </c>
      <c r="E22" s="71"/>
      <c r="F22" s="29">
        <f>SUM(F16:F21)</f>
        <v>0</v>
      </c>
      <c r="G22" s="68">
        <f>SUM(G16:G21)</f>
        <v>0</v>
      </c>
      <c r="H22" s="69"/>
      <c r="I22" s="38">
        <f>SUM(I16:I21)</f>
        <v>0</v>
      </c>
    </row>
    <row r="23" spans="2:9" ht="15.75" thickTop="1"/>
    <row r="24" spans="2:9" ht="21.75" thickBot="1">
      <c r="B24" s="25" t="s">
        <v>8</v>
      </c>
    </row>
    <row r="25" spans="2:9" ht="18" customHeight="1">
      <c r="B25" s="12"/>
      <c r="C25" s="23" t="s">
        <v>17</v>
      </c>
      <c r="D25" s="66">
        <f>IFERROR( D16/D7, 0 )</f>
        <v>0</v>
      </c>
      <c r="E25" s="67"/>
      <c r="F25" s="30">
        <f>IFERROR( F16/F7, 0 )</f>
        <v>0</v>
      </c>
      <c r="G25" s="66">
        <f>IFERROR( G16/G7, 0 )</f>
        <v>0</v>
      </c>
      <c r="H25" s="67"/>
      <c r="I25" s="34">
        <f>IFERROR( I16/I7, 0 )</f>
        <v>0</v>
      </c>
    </row>
    <row r="26" spans="2:9">
      <c r="B26" s="13"/>
      <c r="C26" s="17" t="s">
        <v>10</v>
      </c>
      <c r="D26" s="45">
        <f>IFERROR( D17/D8, 0 )</f>
        <v>0</v>
      </c>
      <c r="E26" s="46"/>
      <c r="F26" s="31">
        <f>IFERROR( F17/F8, 0 )</f>
        <v>0</v>
      </c>
      <c r="G26" s="45">
        <f>IFERROR( G17/G8, 0 )</f>
        <v>0</v>
      </c>
      <c r="H26" s="46"/>
      <c r="I26" s="35">
        <f>IFERROR( I17/I8, 0 )</f>
        <v>0</v>
      </c>
    </row>
    <row r="27" spans="2:9">
      <c r="B27" s="13"/>
      <c r="C27" s="17" t="s">
        <v>19</v>
      </c>
      <c r="D27" s="45">
        <f>IFERROR( (D16+D17+D18)/ (D7+D8), 0 )</f>
        <v>0</v>
      </c>
      <c r="E27" s="46"/>
      <c r="F27" s="32">
        <f>IFERROR( (F16+F17+F18)/ (F7+F8), 0 )</f>
        <v>0</v>
      </c>
      <c r="G27" s="45">
        <f>IFERROR( (G16+G17+G18)/ (G7+G8), 0 )</f>
        <v>0</v>
      </c>
      <c r="H27" s="46"/>
      <c r="I27" s="36">
        <f>IFERROR( (I16+I17+I18)/ (I7+I8), 0 )</f>
        <v>0</v>
      </c>
    </row>
    <row r="28" spans="2:9" ht="15.75" thickBot="1">
      <c r="B28" s="14"/>
      <c r="C28" s="24" t="s">
        <v>20</v>
      </c>
      <c r="D28" s="64">
        <f>IFERROR( D22/D11, 0 )</f>
        <v>0</v>
      </c>
      <c r="E28" s="65"/>
      <c r="F28" s="33">
        <f>IFERROR( F22/F11, 0 )</f>
        <v>0</v>
      </c>
      <c r="G28" s="64">
        <f>IFERROR( G22/G11, 0 )</f>
        <v>0</v>
      </c>
      <c r="H28" s="65"/>
      <c r="I28" s="37">
        <f>IFERROR( I22/I11, 0 )</f>
        <v>0</v>
      </c>
    </row>
  </sheetData>
  <mergeCells count="40">
    <mergeCell ref="D2:G2"/>
    <mergeCell ref="D10:E10"/>
    <mergeCell ref="D16:E16"/>
    <mergeCell ref="D13:F13"/>
    <mergeCell ref="D4:F4"/>
    <mergeCell ref="G4:I4"/>
    <mergeCell ref="D8:E8"/>
    <mergeCell ref="D11:E11"/>
    <mergeCell ref="G7:H7"/>
    <mergeCell ref="G8:H8"/>
    <mergeCell ref="G10:H10"/>
    <mergeCell ref="G22:H22"/>
    <mergeCell ref="D17:E17"/>
    <mergeCell ref="D18:E18"/>
    <mergeCell ref="D19:E19"/>
    <mergeCell ref="D22:E22"/>
    <mergeCell ref="D20:E20"/>
    <mergeCell ref="G20:H20"/>
    <mergeCell ref="D28:E28"/>
    <mergeCell ref="G27:H27"/>
    <mergeCell ref="G28:H28"/>
    <mergeCell ref="D26:E26"/>
    <mergeCell ref="G25:H25"/>
    <mergeCell ref="G26:H26"/>
    <mergeCell ref="D25:E25"/>
    <mergeCell ref="H2:I2"/>
    <mergeCell ref="D9:E9"/>
    <mergeCell ref="G9:H9"/>
    <mergeCell ref="D27:E27"/>
    <mergeCell ref="G16:H16"/>
    <mergeCell ref="G17:H17"/>
    <mergeCell ref="G18:H18"/>
    <mergeCell ref="G19:H19"/>
    <mergeCell ref="G21:H21"/>
    <mergeCell ref="D21:E21"/>
    <mergeCell ref="G13:I13"/>
    <mergeCell ref="B13:C14"/>
    <mergeCell ref="B4:C5"/>
    <mergeCell ref="D7:E7"/>
    <mergeCell ref="G11:H11"/>
  </mergeCells>
  <pageMargins left="0.51181102362204722" right="0.51181102362204722" top="0.78740157480314965" bottom="0.78740157480314965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E27"/>
  <sheetViews>
    <sheetView workbookViewId="0">
      <selection activeCell="K18" sqref="K18"/>
    </sheetView>
  </sheetViews>
  <sheetFormatPr defaultRowHeight="15"/>
  <cols>
    <col min="1" max="1" width="21.5703125" bestFit="1" customWidth="1"/>
  </cols>
  <sheetData>
    <row r="3" spans="1:4" ht="18.75">
      <c r="A3" s="8" t="s">
        <v>0</v>
      </c>
      <c r="B3" t="s">
        <v>11</v>
      </c>
    </row>
    <row r="6" spans="1:4" ht="18.75">
      <c r="A6" s="8" t="s">
        <v>1</v>
      </c>
      <c r="B6" t="s">
        <v>50</v>
      </c>
    </row>
    <row r="7" spans="1:4">
      <c r="B7" s="40" t="s">
        <v>49</v>
      </c>
    </row>
    <row r="9" spans="1:4" ht="18.75">
      <c r="A9" s="8" t="s">
        <v>12</v>
      </c>
      <c r="B9" t="s">
        <v>13</v>
      </c>
    </row>
    <row r="10" spans="1:4">
      <c r="B10" t="s">
        <v>14</v>
      </c>
    </row>
    <row r="12" spans="1:4">
      <c r="B12" t="s">
        <v>21</v>
      </c>
    </row>
    <row r="15" spans="1:4" ht="18.75">
      <c r="A15" s="8" t="s">
        <v>23</v>
      </c>
      <c r="D15" t="s">
        <v>24</v>
      </c>
    </row>
    <row r="16" spans="1:4" ht="18.75">
      <c r="A16" s="8" t="s">
        <v>25</v>
      </c>
      <c r="D16" t="s">
        <v>26</v>
      </c>
    </row>
    <row r="17" spans="1:5" ht="18.75">
      <c r="A17" s="8" t="s">
        <v>37</v>
      </c>
      <c r="D17" t="s">
        <v>38</v>
      </c>
    </row>
    <row r="18" spans="1:5" ht="18.75">
      <c r="A18" s="8" t="s">
        <v>39</v>
      </c>
      <c r="D18" t="s">
        <v>40</v>
      </c>
    </row>
    <row r="19" spans="1:5" ht="18.75">
      <c r="A19" s="8"/>
    </row>
    <row r="20" spans="1:5" ht="18.75">
      <c r="A20" s="8"/>
    </row>
    <row r="22" spans="1:5" ht="15.75">
      <c r="A22" s="15" t="s">
        <v>27</v>
      </c>
      <c r="E22" t="s">
        <v>28</v>
      </c>
    </row>
    <row r="23" spans="1:5" ht="15.75">
      <c r="A23" s="15" t="s">
        <v>4</v>
      </c>
      <c r="E23" t="s">
        <v>26</v>
      </c>
    </row>
    <row r="24" spans="1:5" ht="15.75">
      <c r="A24" s="15" t="s">
        <v>5</v>
      </c>
      <c r="E24" t="s">
        <v>29</v>
      </c>
    </row>
    <row r="25" spans="1:5" ht="15.75">
      <c r="A25" s="15" t="s">
        <v>22</v>
      </c>
      <c r="E25" t="s">
        <v>30</v>
      </c>
    </row>
    <row r="26" spans="1:5" ht="15.75">
      <c r="A26" s="39" t="s">
        <v>42</v>
      </c>
      <c r="E26" t="s">
        <v>44</v>
      </c>
    </row>
    <row r="27" spans="1:5" ht="15.75">
      <c r="A27" s="39" t="s">
        <v>43</v>
      </c>
      <c r="E27" t="s">
        <v>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Indicadores</vt:lpstr>
      <vt:lpstr>Notas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marcio.pereira</dc:creator>
  <cp:lastModifiedBy>marcio.pereira</cp:lastModifiedBy>
  <cp:lastPrinted>2012-08-31T17:40:00Z</cp:lastPrinted>
  <dcterms:created xsi:type="dcterms:W3CDTF">2012-08-30T19:28:18Z</dcterms:created>
  <dcterms:modified xsi:type="dcterms:W3CDTF">2012-11-17T11:01:20Z</dcterms:modified>
</cp:coreProperties>
</file>